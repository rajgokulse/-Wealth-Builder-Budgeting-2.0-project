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6c3fdf2e997d6b/Documents/"/>
    </mc:Choice>
  </mc:AlternateContent>
  <xr:revisionPtr revIDLastSave="0" documentId="8_{40E04100-12F8-404D-873D-9E5DD9321DF8}" xr6:coauthVersionLast="47" xr6:coauthVersionMax="47" xr10:uidLastSave="{00000000-0000-0000-0000-000000000000}"/>
  <bookViews>
    <workbookView xWindow="768" yWindow="768" windowWidth="17280" windowHeight="8880" activeTab="3" xr2:uid="{8816B141-D2FB-4568-BE5A-2A4092426666}"/>
  </bookViews>
  <sheets>
    <sheet name="csv" sheetId="1" r:id="rId1"/>
    <sheet name=" Cash Flow Statement" sheetId="2" r:id="rId2"/>
    <sheet name="Balance Sheet" sheetId="3" r:id="rId3"/>
    <sheet name="Metr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  <c r="D5" i="4"/>
  <c r="D6" i="4"/>
  <c r="D4" i="4"/>
  <c r="B6" i="4"/>
  <c r="B5" i="4"/>
  <c r="B4" i="4"/>
  <c r="B11" i="4"/>
  <c r="C6" i="4"/>
  <c r="C5" i="4"/>
  <c r="C4" i="4"/>
  <c r="B1" i="4"/>
  <c r="C23" i="2"/>
  <c r="F3" i="1"/>
  <c r="F4" i="1" s="1"/>
  <c r="F5" i="1" s="1"/>
  <c r="F6" i="1" s="1"/>
  <c r="F7" i="1" s="1"/>
  <c r="F8" i="1" s="1"/>
</calcChain>
</file>

<file path=xl/sharedStrings.xml><?xml version="1.0" encoding="utf-8"?>
<sst xmlns="http://schemas.openxmlformats.org/spreadsheetml/2006/main" count="135" uniqueCount="85">
  <si>
    <t>The Cash Flow Statement</t>
  </si>
  <si>
    <t>Date</t>
  </si>
  <si>
    <t>Particulars</t>
  </si>
  <si>
    <t>Type</t>
  </si>
  <si>
    <t>Category</t>
  </si>
  <si>
    <t>Amount (₹)</t>
  </si>
  <si>
    <t>Balance (₹)</t>
  </si>
  <si>
    <t>NEFT: SALARY / COMPANY CORP</t>
  </si>
  <si>
    <t>CREDIT</t>
  </si>
  <si>
    <t>Salary</t>
  </si>
  <si>
    <t>UPI/RENT/PAYTM/9988776655</t>
  </si>
  <si>
    <t>DEBIT</t>
  </si>
  <si>
    <t>Housing</t>
  </si>
  <si>
    <t>POS/SWIGGY/REST_HYD</t>
  </si>
  <si>
    <t>Food &amp; Dining</t>
  </si>
  <si>
    <t>BIL/ELECTRICITY/BESCOM</t>
  </si>
  <si>
    <t>Utilities</t>
  </si>
  <si>
    <t>UPI/BIGBASKET/GROCERY</t>
  </si>
  <si>
    <t>Groceries</t>
  </si>
  <si>
    <t>POS/ZARA/SHOPPING_MALL</t>
  </si>
  <si>
    <t>Shopping</t>
  </si>
  <si>
    <t>UPI/AIRTEL/FIBER_BILL</t>
  </si>
  <si>
    <t>UPI/ZOMATO/ORDER_ID_102</t>
  </si>
  <si>
    <t>SI/HDFC_MF/SIP_INVEST</t>
  </si>
  <si>
    <t>Investment</t>
  </si>
  <si>
    <t>POS/SHELL/FUEL_BLR</t>
  </si>
  <si>
    <t>Transport</t>
  </si>
  <si>
    <t>POS/AMAZON/GIFTS</t>
  </si>
  <si>
    <t>UPI/CAFE_COFFEE_DAY</t>
  </si>
  <si>
    <t>POS/APOLLO_PHARMACY</t>
  </si>
  <si>
    <t>Health</t>
  </si>
  <si>
    <t>UPI/UBER/TRIP_PAY</t>
  </si>
  <si>
    <t>POS/NETFLIX/SUBSCR</t>
  </si>
  <si>
    <t>Entertainment</t>
  </si>
  <si>
    <t>Description</t>
  </si>
  <si>
    <t>Total (₹)</t>
  </si>
  <si>
    <t>Cash Inflows (Income)</t>
  </si>
  <si>
    <t>Total Cash Inflow (A)</t>
  </si>
  <si>
    <t>Cash Outflows (Expenses)</t>
  </si>
  <si>
    <t>Housing (Rent)</t>
  </si>
  <si>
    <t>Total Operating Outflows</t>
  </si>
  <si>
    <t>Investing Activities</t>
  </si>
  <si>
    <t>Investments</t>
  </si>
  <si>
    <t>Total Investing Outflows</t>
  </si>
  <si>
    <t>Net Cash Flow (A - Outflows)</t>
  </si>
  <si>
    <t>Current Assets</t>
  </si>
  <si>
    <t>Equity / Net Worth</t>
  </si>
  <si>
    <t>ASSETS</t>
  </si>
  <si>
    <t>Cash at Bank (Closing Balance)</t>
  </si>
  <si>
    <t>Non-Current Assets</t>
  </si>
  <si>
    <t>TOTAL ASSETS</t>
  </si>
  <si>
    <t>LIABILITIES &amp; EQUITY</t>
  </si>
  <si>
    <t>Liabilities</t>
  </si>
  <si>
    <t>Current Liabilities</t>
  </si>
  <si>
    <t>Opening Capital (Balance as of Nov 1)</t>
  </si>
  <si>
    <t>Add: Net Surplus (Income - Expenses)</t>
  </si>
  <si>
    <t>Total Equity</t>
  </si>
  <si>
    <t>TOTAL LIABILITIES &amp; EQUITY</t>
  </si>
  <si>
    <t>31.12.2025</t>
  </si>
  <si>
    <t>31.11.2025</t>
  </si>
  <si>
    <t>25.1.2026</t>
  </si>
  <si>
    <t>Net Burn Rate</t>
  </si>
  <si>
    <t>Net Worth</t>
  </si>
  <si>
    <t>Gross Burn Rate</t>
  </si>
  <si>
    <t>Total Monthly oncome</t>
  </si>
  <si>
    <t>Mutual Funds</t>
  </si>
  <si>
    <t>SIP</t>
  </si>
  <si>
    <t>Savings</t>
  </si>
  <si>
    <t>Financial Investments :</t>
  </si>
  <si>
    <t>Principal</t>
  </si>
  <si>
    <t>r</t>
  </si>
  <si>
    <t>t</t>
  </si>
  <si>
    <t>n</t>
  </si>
  <si>
    <r>
      <t xml:space="preserve">In this scenario, your money </t>
    </r>
    <r>
      <rPr>
        <b/>
        <sz val="11"/>
        <color theme="1"/>
        <rFont val="Calibri"/>
        <family val="2"/>
        <scheme val="minor"/>
      </rPr>
      <t>doubled</t>
    </r>
    <r>
      <rPr>
        <sz val="11"/>
        <color theme="1"/>
        <rFont val="Calibri"/>
        <family val="2"/>
        <scheme val="minor"/>
      </rPr>
      <t xml:space="preserve"> over 10 years without you doing any extra work</t>
    </r>
  </si>
  <si>
    <t>Wealth Formula</t>
  </si>
  <si>
    <t>Burn Rate:</t>
  </si>
  <si>
    <t>Saving rate-</t>
  </si>
  <si>
    <t>Column1</t>
  </si>
  <si>
    <t>Column2</t>
  </si>
  <si>
    <t>Column3</t>
  </si>
  <si>
    <t>Column4</t>
  </si>
  <si>
    <t>Column5</t>
  </si>
  <si>
    <t>Column6</t>
  </si>
  <si>
    <t>A=</t>
  </si>
  <si>
    <t>A=P(1+r/n)^t*n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</si>
</sst>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4" fontId="3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14" fontId="4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2" fontId="4" fillId="0" borderId="1" xfId="0" applyNumberFormat="1" applyFont="1" applyBorder="1" applyAlignment="1">
      <alignment horizontal="left" vertical="center" wrapText="1" indent="1" readingOrder="1"/>
    </xf>
    <xf numFmtId="14" fontId="0" fillId="0" borderId="0" xfId="0" applyNumberFormat="1"/>
    <xf numFmtId="2" fontId="3" fillId="0" borderId="1" xfId="0" applyNumberFormat="1" applyFont="1" applyBorder="1" applyAlignment="1">
      <alignment horizontal="left" vertical="center" wrapText="1" indent="1" readingOrder="1"/>
    </xf>
    <xf numFmtId="2" fontId="0" fillId="0" borderId="0" xfId="0" applyNumberFormat="1"/>
    <xf numFmtId="0" fontId="2" fillId="0" borderId="0" xfId="0" applyFont="1"/>
    <xf numFmtId="2" fontId="4" fillId="0" borderId="4" xfId="0" applyNumberFormat="1" applyFont="1" applyBorder="1" applyAlignment="1">
      <alignment horizontal="left" vertical="center" wrapText="1" indent="1" readingOrder="1"/>
    </xf>
    <xf numFmtId="2" fontId="3" fillId="0" borderId="4" xfId="0" applyNumberFormat="1" applyFont="1" applyBorder="1" applyAlignment="1">
      <alignment horizontal="left" vertical="center" wrapText="1" indent="1" readingOrder="1"/>
    </xf>
    <xf numFmtId="2" fontId="4" fillId="0" borderId="5" xfId="0" applyNumberFormat="1" applyFont="1" applyBorder="1" applyAlignment="1">
      <alignment horizontal="left" vertical="center" wrapText="1" indent="1" readingOrder="1"/>
    </xf>
    <xf numFmtId="0" fontId="0" fillId="0" borderId="3" xfId="0" applyBorder="1"/>
    <xf numFmtId="2" fontId="4" fillId="0" borderId="3" xfId="0" applyNumberFormat="1" applyFont="1" applyBorder="1" applyAlignment="1">
      <alignment horizontal="left" vertical="center" wrapText="1" indent="1" readingOrder="1"/>
    </xf>
    <xf numFmtId="2" fontId="0" fillId="0" borderId="3" xfId="0" applyNumberFormat="1" applyBorder="1"/>
    <xf numFmtId="2" fontId="3" fillId="0" borderId="3" xfId="0" applyNumberFormat="1" applyFont="1" applyBorder="1" applyAlignment="1">
      <alignment horizontal="left" vertical="center" wrapText="1" indent="1" readingOrder="1"/>
    </xf>
    <xf numFmtId="0" fontId="0" fillId="0" borderId="6" xfId="0" applyBorder="1"/>
    <xf numFmtId="2" fontId="0" fillId="0" borderId="6" xfId="0" applyNumberFormat="1" applyBorder="1"/>
    <xf numFmtId="2" fontId="4" fillId="0" borderId="3" xfId="0" applyNumberFormat="1" applyFont="1" applyBorder="1" applyAlignment="1">
      <alignment horizontal="right" vertical="center" wrapText="1" indent="1" readingOrder="1"/>
    </xf>
    <xf numFmtId="2" fontId="0" fillId="0" borderId="3" xfId="0" applyNumberFormat="1" applyBorder="1" applyAlignment="1">
      <alignment horizontal="right"/>
    </xf>
    <xf numFmtId="2" fontId="3" fillId="0" borderId="3" xfId="0" applyNumberFormat="1" applyFont="1" applyBorder="1" applyAlignment="1">
      <alignment horizontal="left" vertical="center" wrapText="1" readingOrder="1"/>
    </xf>
    <xf numFmtId="2" fontId="4" fillId="0" borderId="3" xfId="0" applyNumberFormat="1" applyFont="1" applyBorder="1" applyAlignment="1">
      <alignment horizontal="left" vertical="center" wrapText="1" readingOrder="1"/>
    </xf>
    <xf numFmtId="0" fontId="0" fillId="0" borderId="3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5" fillId="0" borderId="0" xfId="0" applyFont="1"/>
    <xf numFmtId="2" fontId="3" fillId="0" borderId="0" xfId="0" applyNumberFormat="1" applyFont="1" applyAlignment="1">
      <alignment horizontal="right" vertical="center" wrapText="1" indent="1" readingOrder="1"/>
    </xf>
    <xf numFmtId="2" fontId="4" fillId="0" borderId="0" xfId="0" applyNumberFormat="1" applyFont="1" applyAlignment="1">
      <alignment horizontal="right" vertical="center" wrapText="1" indent="1" readingOrder="1"/>
    </xf>
    <xf numFmtId="0" fontId="0" fillId="0" borderId="7" xfId="0" applyBorder="1"/>
    <xf numFmtId="2" fontId="0" fillId="0" borderId="8" xfId="0" applyNumberFormat="1" applyBorder="1"/>
    <xf numFmtId="0" fontId="2" fillId="0" borderId="9" xfId="0" applyFont="1" applyBorder="1"/>
    <xf numFmtId="0" fontId="2" fillId="0" borderId="6" xfId="0" applyFont="1" applyBorder="1"/>
    <xf numFmtId="0" fontId="2" fillId="0" borderId="10" xfId="0" applyFont="1" applyBorder="1"/>
    <xf numFmtId="0" fontId="0" fillId="0" borderId="11" xfId="0" applyBorder="1"/>
    <xf numFmtId="2" fontId="0" fillId="0" borderId="12" xfId="0" applyNumberFormat="1" applyBorder="1"/>
    <xf numFmtId="2" fontId="0" fillId="0" borderId="13" xfId="0" applyNumberFormat="1" applyBorder="1"/>
    <xf numFmtId="2" fontId="3" fillId="0" borderId="6" xfId="0" applyNumberFormat="1" applyFont="1" applyBorder="1" applyAlignment="1">
      <alignment horizontal="left" vertical="center" wrapText="1" indent="1" readingOrder="1"/>
    </xf>
    <xf numFmtId="2" fontId="3" fillId="0" borderId="12" xfId="0" applyNumberFormat="1" applyFont="1" applyBorder="1" applyAlignment="1">
      <alignment horizontal="left" vertical="center" wrapText="1" readingOrder="1"/>
    </xf>
    <xf numFmtId="2" fontId="3" fillId="0" borderId="12" xfId="0" applyNumberFormat="1" applyFont="1" applyBorder="1" applyAlignment="1">
      <alignment horizontal="left" vertical="center" wrapText="1" indent="1" readingOrder="1"/>
    </xf>
    <xf numFmtId="2" fontId="4" fillId="0" borderId="12" xfId="0" applyNumberFormat="1" applyFont="1" applyBorder="1" applyAlignment="1">
      <alignment horizontal="left" vertical="center" wrapText="1" indent="1" readingOrder="1"/>
    </xf>
    <xf numFmtId="2" fontId="3" fillId="0" borderId="14" xfId="0" applyNumberFormat="1" applyFont="1" applyBorder="1" applyAlignment="1">
      <alignment horizontal="left" vertical="center" wrapText="1" indent="1" readingOrder="1"/>
    </xf>
    <xf numFmtId="2" fontId="4" fillId="0" borderId="14" xfId="0" applyNumberFormat="1" applyFont="1" applyBorder="1" applyAlignment="1">
      <alignment horizontal="left" vertical="center" wrapText="1" indent="1" readingOrder="1"/>
    </xf>
    <xf numFmtId="2" fontId="3" fillId="0" borderId="15" xfId="0" applyNumberFormat="1" applyFont="1" applyBorder="1" applyAlignment="1">
      <alignment horizontal="left" vertical="center" wrapText="1" indent="1" readingOrder="1"/>
    </xf>
    <xf numFmtId="2" fontId="3" fillId="0" borderId="16" xfId="0" applyNumberFormat="1" applyFont="1" applyBorder="1" applyAlignment="1">
      <alignment horizontal="left" vertical="center" wrapText="1" indent="1" readingOrder="1"/>
    </xf>
    <xf numFmtId="2" fontId="3" fillId="0" borderId="17" xfId="0" applyNumberFormat="1" applyFont="1" applyBorder="1" applyAlignment="1">
      <alignment horizontal="left" vertical="center" wrapText="1" indent="1" readingOrder="1"/>
    </xf>
    <xf numFmtId="2" fontId="3" fillId="0" borderId="18" xfId="0" applyNumberFormat="1" applyFont="1" applyBorder="1" applyAlignment="1">
      <alignment horizontal="left" vertical="center" wrapText="1" indent="1" readingOrder="1"/>
    </xf>
    <xf numFmtId="2" fontId="3" fillId="0" borderId="19" xfId="0" applyNumberFormat="1" applyFont="1" applyBorder="1" applyAlignment="1">
      <alignment horizontal="left" vertical="center" wrapText="1" indent="1" readingOrder="1"/>
    </xf>
    <xf numFmtId="0" fontId="5" fillId="0" borderId="3" xfId="0" applyFont="1" applyBorder="1"/>
    <xf numFmtId="9" fontId="0" fillId="0" borderId="3" xfId="1" applyFont="1" applyBorder="1"/>
    <xf numFmtId="2" fontId="2" fillId="0" borderId="2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left" vertical="center" textRotation="0" wrapText="1" indent="1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81DBBA-089A-4D95-863B-60183A4ECA94}" name="Table3" displayName="Table3" ref="A2:C23" totalsRowShown="0" headerRowDxfId="17" headerRowBorderDxfId="16" tableBorderDxfId="15" totalsRowBorderDxfId="14">
  <autoFilter ref="A2:C23" xr:uid="{0D81DBBA-089A-4D95-863B-60183A4ECA94}"/>
  <tableColumns count="3">
    <tableColumn id="1" xr3:uid="{178270F2-D184-42F5-992E-0AC5B574F0A2}" name="Column1" dataDxfId="13"/>
    <tableColumn id="2" xr3:uid="{61286076-FAAB-4097-8FC8-20B44D16018D}" name="Column2" dataDxfId="12"/>
    <tableColumn id="3" xr3:uid="{9F3C7A61-E822-4248-B276-18D921A4AE2B}" name="Column3" dataDxfId="1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CC84EC-C724-4CA4-B5CF-B2B4FBA31396}" name="Table2" displayName="Table2" ref="A1:F14" totalsRowShown="0" headerRowDxfId="10" headerRowBorderDxfId="9" tableBorderDxfId="8">
  <autoFilter ref="A1:F14" xr:uid="{7FCC84EC-C724-4CA4-B5CF-B2B4FBA31396}"/>
  <tableColumns count="6">
    <tableColumn id="1" xr3:uid="{DF53C5F6-A701-4A09-BD83-4C0F713C06BD}" name="Column1"/>
    <tableColumn id="2" xr3:uid="{EE574E46-D4EC-4358-90F9-0B58AF7C16E0}" name="Column2"/>
    <tableColumn id="3" xr3:uid="{68A4C5D2-4C00-4F86-8DA6-92CA7190DD2D}" name="Column3"/>
    <tableColumn id="4" xr3:uid="{6F827C39-150F-49C5-B5EB-739233516E82}" name="Column4"/>
    <tableColumn id="5" xr3:uid="{36C423CB-556C-408E-9A84-E2600E0A033B}" name="Column5"/>
    <tableColumn id="6" xr3:uid="{40BF7D66-12C6-4A79-BCFE-6B62EF1E0384}" name="Column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D5FE5-8F50-44D8-AED8-577BFC06D03A}" name="Table1" displayName="Table1" ref="A3:D6" totalsRowShown="0" headerRowDxfId="7" headerRowBorderDxfId="6" tableBorderDxfId="5" totalsRowBorderDxfId="4">
  <autoFilter ref="A3:D6" xr:uid="{1B2D5FE5-8F50-44D8-AED8-577BFC06D03A}"/>
  <tableColumns count="4">
    <tableColumn id="1" xr3:uid="{805F7511-1517-478C-A3CD-487DBFE6B222}" name="Date" dataDxfId="3"/>
    <tableColumn id="2" xr3:uid="{7A2A6F29-5127-4081-AA4F-1EB857F6B4EE}" name="Total Monthly oncome" dataDxfId="2"/>
    <tableColumn id="3" xr3:uid="{3A3AECC3-AE71-4187-88EF-DE7EFED557B1}" name="Gross Burn Rate" dataDxfId="1"/>
    <tableColumn id="4" xr3:uid="{37F00D1E-0B8F-446B-80FC-B8186A505D3C}" name="Net Burn Rate" dataDxfId="0">
      <calculatedColumnFormula>B4-C4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80AF-3F1B-4F6C-B241-E52174B705DF}">
  <dimension ref="A1:F25"/>
  <sheetViews>
    <sheetView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21.6640625" customWidth="1"/>
    <col min="3" max="3" width="12.21875" customWidth="1"/>
    <col min="5" max="5" width="10.6640625" style="8" bestFit="1" customWidth="1"/>
    <col min="6" max="6" width="11.77734375" style="8" bestFit="1" customWidth="1"/>
  </cols>
  <sheetData>
    <row r="1" spans="1:6" ht="28.2" thickBot="1" x14ac:dyDescent="0.35">
      <c r="A1" s="1" t="s">
        <v>1</v>
      </c>
      <c r="B1" s="2" t="s">
        <v>2</v>
      </c>
      <c r="C1" s="2" t="s">
        <v>3</v>
      </c>
      <c r="D1" s="2" t="s">
        <v>4</v>
      </c>
      <c r="E1" s="7" t="s">
        <v>5</v>
      </c>
      <c r="F1" s="7" t="s">
        <v>6</v>
      </c>
    </row>
    <row r="2" spans="1:6" ht="83.4" thickBot="1" x14ac:dyDescent="0.35">
      <c r="A2" s="3">
        <v>45962</v>
      </c>
      <c r="B2" s="4" t="s">
        <v>7</v>
      </c>
      <c r="C2" s="4" t="s">
        <v>8</v>
      </c>
      <c r="D2" s="4" t="s">
        <v>9</v>
      </c>
      <c r="E2" s="5">
        <v>90000</v>
      </c>
      <c r="F2" s="5">
        <v>115000</v>
      </c>
    </row>
    <row r="3" spans="1:6" ht="69.599999999999994" thickBot="1" x14ac:dyDescent="0.35">
      <c r="A3" s="3">
        <v>45963</v>
      </c>
      <c r="B3" s="4" t="s">
        <v>10</v>
      </c>
      <c r="C3" s="4" t="s">
        <v>11</v>
      </c>
      <c r="D3" s="4" t="s">
        <v>12</v>
      </c>
      <c r="E3" s="5">
        <v>28000</v>
      </c>
      <c r="F3" s="5">
        <f t="shared" ref="F3:F8" si="0">F2-E3</f>
        <v>87000</v>
      </c>
    </row>
    <row r="4" spans="1:6" ht="69.599999999999994" thickBot="1" x14ac:dyDescent="0.35">
      <c r="A4" s="3">
        <v>45966</v>
      </c>
      <c r="B4" s="4" t="s">
        <v>13</v>
      </c>
      <c r="C4" s="4" t="s">
        <v>11</v>
      </c>
      <c r="D4" s="4" t="s">
        <v>14</v>
      </c>
      <c r="E4" s="5">
        <v>650</v>
      </c>
      <c r="F4" s="5">
        <f t="shared" si="0"/>
        <v>86350</v>
      </c>
    </row>
    <row r="5" spans="1:6" ht="28.2" thickBot="1" x14ac:dyDescent="0.35">
      <c r="A5" s="3">
        <v>45971</v>
      </c>
      <c r="B5" s="4" t="s">
        <v>15</v>
      </c>
      <c r="C5" s="4" t="s">
        <v>11</v>
      </c>
      <c r="D5" s="4" t="s">
        <v>16</v>
      </c>
      <c r="E5" s="5">
        <v>2400</v>
      </c>
      <c r="F5" s="5">
        <f t="shared" si="0"/>
        <v>83950</v>
      </c>
    </row>
    <row r="6" spans="1:6" ht="28.2" thickBot="1" x14ac:dyDescent="0.35">
      <c r="A6" s="3">
        <v>45976</v>
      </c>
      <c r="B6" s="4" t="s">
        <v>17</v>
      </c>
      <c r="C6" s="4" t="s">
        <v>11</v>
      </c>
      <c r="D6" s="4" t="s">
        <v>18</v>
      </c>
      <c r="E6" s="5">
        <v>4500</v>
      </c>
      <c r="F6" s="5">
        <f t="shared" si="0"/>
        <v>79450</v>
      </c>
    </row>
    <row r="7" spans="1:6" ht="28.2" thickBot="1" x14ac:dyDescent="0.35">
      <c r="A7" s="3">
        <v>45981</v>
      </c>
      <c r="B7" s="4" t="s">
        <v>19</v>
      </c>
      <c r="C7" s="4" t="s">
        <v>11</v>
      </c>
      <c r="D7" s="4" t="s">
        <v>20</v>
      </c>
      <c r="E7" s="5">
        <v>5200</v>
      </c>
      <c r="F7" s="5">
        <f t="shared" si="0"/>
        <v>74250</v>
      </c>
    </row>
    <row r="8" spans="1:6" ht="28.2" thickBot="1" x14ac:dyDescent="0.35">
      <c r="A8" s="3">
        <v>45989</v>
      </c>
      <c r="B8" s="4" t="s">
        <v>21</v>
      </c>
      <c r="C8" s="4" t="s">
        <v>11</v>
      </c>
      <c r="D8" s="4" t="s">
        <v>16</v>
      </c>
      <c r="E8" s="5">
        <v>1178</v>
      </c>
      <c r="F8" s="5">
        <f t="shared" si="0"/>
        <v>73072</v>
      </c>
    </row>
    <row r="9" spans="1:6" ht="28.2" thickBot="1" x14ac:dyDescent="0.35">
      <c r="A9" s="3">
        <v>45992</v>
      </c>
      <c r="B9" s="4" t="s">
        <v>7</v>
      </c>
      <c r="C9" s="4" t="s">
        <v>8</v>
      </c>
      <c r="D9" s="4" t="s">
        <v>9</v>
      </c>
      <c r="E9" s="5">
        <v>90000</v>
      </c>
      <c r="F9" s="5">
        <v>163072</v>
      </c>
    </row>
    <row r="10" spans="1:6" ht="28.2" thickBot="1" x14ac:dyDescent="0.35">
      <c r="A10" s="3">
        <v>45993</v>
      </c>
      <c r="B10" s="4" t="s">
        <v>10</v>
      </c>
      <c r="C10" s="4" t="s">
        <v>11</v>
      </c>
      <c r="D10" s="4" t="s">
        <v>12</v>
      </c>
      <c r="E10" s="5">
        <v>28000</v>
      </c>
      <c r="F10" s="5">
        <v>135072</v>
      </c>
    </row>
    <row r="11" spans="1:6" ht="28.2" thickBot="1" x14ac:dyDescent="0.35">
      <c r="A11" s="3">
        <v>45999</v>
      </c>
      <c r="B11" s="4" t="s">
        <v>22</v>
      </c>
      <c r="C11" s="4" t="s">
        <v>11</v>
      </c>
      <c r="D11" s="4" t="s">
        <v>14</v>
      </c>
      <c r="E11" s="5">
        <v>890</v>
      </c>
      <c r="F11" s="5">
        <v>134182</v>
      </c>
    </row>
    <row r="12" spans="1:6" ht="28.2" thickBot="1" x14ac:dyDescent="0.35">
      <c r="A12" s="3">
        <v>46003</v>
      </c>
      <c r="B12" s="4" t="s">
        <v>23</v>
      </c>
      <c r="C12" s="4" t="s">
        <v>11</v>
      </c>
      <c r="D12" s="4" t="s">
        <v>24</v>
      </c>
      <c r="E12" s="5">
        <v>15000</v>
      </c>
      <c r="F12" s="5">
        <v>119182</v>
      </c>
    </row>
    <row r="13" spans="1:6" ht="28.2" thickBot="1" x14ac:dyDescent="0.35">
      <c r="A13" s="3">
        <v>46009</v>
      </c>
      <c r="B13" s="4" t="s">
        <v>25</v>
      </c>
      <c r="C13" s="4" t="s">
        <v>11</v>
      </c>
      <c r="D13" s="4" t="s">
        <v>26</v>
      </c>
      <c r="E13" s="5">
        <v>3500</v>
      </c>
      <c r="F13" s="5">
        <v>115682</v>
      </c>
    </row>
    <row r="14" spans="1:6" ht="28.2" thickBot="1" x14ac:dyDescent="0.35">
      <c r="A14" s="3">
        <v>46015</v>
      </c>
      <c r="B14" s="4" t="s">
        <v>27</v>
      </c>
      <c r="C14" s="4" t="s">
        <v>11</v>
      </c>
      <c r="D14" s="4" t="s">
        <v>20</v>
      </c>
      <c r="E14" s="5">
        <v>8000</v>
      </c>
      <c r="F14" s="5">
        <v>107682</v>
      </c>
    </row>
    <row r="15" spans="1:6" ht="28.2" thickBot="1" x14ac:dyDescent="0.35">
      <c r="A15" s="3">
        <v>46022</v>
      </c>
      <c r="B15" s="4" t="s">
        <v>28</v>
      </c>
      <c r="C15" s="4" t="s">
        <v>11</v>
      </c>
      <c r="D15" s="4" t="s">
        <v>14</v>
      </c>
      <c r="E15" s="5">
        <v>450</v>
      </c>
      <c r="F15" s="5">
        <v>107232</v>
      </c>
    </row>
    <row r="16" spans="1:6" ht="28.2" thickBot="1" x14ac:dyDescent="0.35">
      <c r="A16" s="3">
        <v>46023</v>
      </c>
      <c r="B16" s="4" t="s">
        <v>7</v>
      </c>
      <c r="C16" s="4" t="s">
        <v>8</v>
      </c>
      <c r="D16" s="4" t="s">
        <v>9</v>
      </c>
      <c r="E16" s="5">
        <v>90000</v>
      </c>
      <c r="F16" s="5">
        <v>197232</v>
      </c>
    </row>
    <row r="17" spans="1:6" ht="28.2" thickBot="1" x14ac:dyDescent="0.35">
      <c r="A17" s="3">
        <v>46025</v>
      </c>
      <c r="B17" s="4" t="s">
        <v>10</v>
      </c>
      <c r="C17" s="4" t="s">
        <v>11</v>
      </c>
      <c r="D17" s="4" t="s">
        <v>12</v>
      </c>
      <c r="E17" s="5">
        <v>28000</v>
      </c>
      <c r="F17" s="5">
        <v>169232</v>
      </c>
    </row>
    <row r="18" spans="1:6" ht="28.2" thickBot="1" x14ac:dyDescent="0.35">
      <c r="A18" s="3">
        <v>46029</v>
      </c>
      <c r="B18" s="4" t="s">
        <v>29</v>
      </c>
      <c r="C18" s="4" t="s">
        <v>11</v>
      </c>
      <c r="D18" s="4" t="s">
        <v>30</v>
      </c>
      <c r="E18" s="5">
        <v>1200</v>
      </c>
      <c r="F18" s="5">
        <v>168032</v>
      </c>
    </row>
    <row r="19" spans="1:6" ht="28.2" thickBot="1" x14ac:dyDescent="0.35">
      <c r="A19" s="3">
        <v>46036</v>
      </c>
      <c r="B19" s="4" t="s">
        <v>17</v>
      </c>
      <c r="C19" s="4" t="s">
        <v>11</v>
      </c>
      <c r="D19" s="4" t="s">
        <v>18</v>
      </c>
      <c r="E19" s="5">
        <v>5100</v>
      </c>
      <c r="F19" s="5">
        <v>162932</v>
      </c>
    </row>
    <row r="20" spans="1:6" ht="28.2" thickBot="1" x14ac:dyDescent="0.35">
      <c r="A20" s="3">
        <v>46042</v>
      </c>
      <c r="B20" s="4" t="s">
        <v>31</v>
      </c>
      <c r="C20" s="4" t="s">
        <v>11</v>
      </c>
      <c r="D20" s="4" t="s">
        <v>26</v>
      </c>
      <c r="E20" s="5">
        <v>420</v>
      </c>
      <c r="F20" s="5">
        <v>162512</v>
      </c>
    </row>
    <row r="21" spans="1:6" ht="28.2" thickBot="1" x14ac:dyDescent="0.35">
      <c r="A21" s="3">
        <v>46047</v>
      </c>
      <c r="B21" s="4" t="s">
        <v>32</v>
      </c>
      <c r="C21" s="4" t="s">
        <v>11</v>
      </c>
      <c r="D21" s="4" t="s">
        <v>33</v>
      </c>
      <c r="E21" s="5">
        <v>649</v>
      </c>
      <c r="F21" s="5">
        <v>161863</v>
      </c>
    </row>
    <row r="22" spans="1:6" x14ac:dyDescent="0.3">
      <c r="A22" s="6"/>
    </row>
    <row r="23" spans="1:6" x14ac:dyDescent="0.3">
      <c r="A23" s="6"/>
    </row>
    <row r="24" spans="1:6" x14ac:dyDescent="0.3">
      <c r="A24" s="6"/>
    </row>
    <row r="25" spans="1:6" x14ac:dyDescent="0.3">
      <c r="A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DCAB-B7F2-45E9-82A4-3CF3638C8603}">
  <dimension ref="A1:C23"/>
  <sheetViews>
    <sheetView workbookViewId="0">
      <selection activeCell="F9" sqref="F9"/>
    </sheetView>
  </sheetViews>
  <sheetFormatPr defaultRowHeight="14.4" x14ac:dyDescent="0.3"/>
  <cols>
    <col min="1" max="1" width="30.109375" style="8" customWidth="1"/>
    <col min="2" max="2" width="14.6640625" style="8" bestFit="1" customWidth="1"/>
    <col min="3" max="3" width="15.33203125" style="8" bestFit="1" customWidth="1"/>
    <col min="4" max="16384" width="8.88671875" style="8"/>
  </cols>
  <sheetData>
    <row r="1" spans="1:3" ht="15" thickBot="1" x14ac:dyDescent="0.35">
      <c r="A1" s="52" t="s">
        <v>0</v>
      </c>
      <c r="B1" s="52"/>
    </row>
    <row r="2" spans="1:3" ht="15" thickBot="1" x14ac:dyDescent="0.35">
      <c r="A2" s="45" t="s">
        <v>77</v>
      </c>
      <c r="B2" s="46" t="s">
        <v>78</v>
      </c>
      <c r="C2" s="47" t="s">
        <v>79</v>
      </c>
    </row>
    <row r="3" spans="1:3" ht="15" thickBot="1" x14ac:dyDescent="0.35">
      <c r="A3" s="11" t="s">
        <v>34</v>
      </c>
      <c r="B3" s="7" t="s">
        <v>5</v>
      </c>
      <c r="C3" s="43" t="s">
        <v>35</v>
      </c>
    </row>
    <row r="4" spans="1:3" ht="15" thickBot="1" x14ac:dyDescent="0.35">
      <c r="A4" s="11" t="s">
        <v>36</v>
      </c>
      <c r="B4" s="5"/>
      <c r="C4" s="44"/>
    </row>
    <row r="5" spans="1:3" ht="15" thickBot="1" x14ac:dyDescent="0.35">
      <c r="A5" s="10" t="s">
        <v>9</v>
      </c>
      <c r="B5" s="5">
        <v>270000</v>
      </c>
      <c r="C5" s="44"/>
    </row>
    <row r="6" spans="1:3" ht="15" thickBot="1" x14ac:dyDescent="0.35">
      <c r="A6" s="11" t="s">
        <v>37</v>
      </c>
      <c r="B6" s="5"/>
      <c r="C6" s="43">
        <v>270000</v>
      </c>
    </row>
    <row r="7" spans="1:3" ht="15" thickBot="1" x14ac:dyDescent="0.35">
      <c r="A7" s="10"/>
      <c r="B7" s="5"/>
      <c r="C7" s="44"/>
    </row>
    <row r="8" spans="1:3" ht="15" thickBot="1" x14ac:dyDescent="0.35">
      <c r="A8" s="11" t="s">
        <v>38</v>
      </c>
      <c r="B8" s="5"/>
      <c r="C8" s="44"/>
    </row>
    <row r="9" spans="1:3" ht="15" thickBot="1" x14ac:dyDescent="0.35">
      <c r="A9" s="10" t="s">
        <v>39</v>
      </c>
      <c r="B9" s="5">
        <v>84000</v>
      </c>
      <c r="C9" s="44"/>
    </row>
    <row r="10" spans="1:3" ht="15" thickBot="1" x14ac:dyDescent="0.35">
      <c r="A10" s="10" t="s">
        <v>20</v>
      </c>
      <c r="B10" s="5">
        <v>13200</v>
      </c>
      <c r="C10" s="44"/>
    </row>
    <row r="11" spans="1:3" ht="15" thickBot="1" x14ac:dyDescent="0.35">
      <c r="A11" s="10" t="s">
        <v>18</v>
      </c>
      <c r="B11" s="5">
        <v>9600</v>
      </c>
      <c r="C11" s="44"/>
    </row>
    <row r="12" spans="1:3" ht="15" thickBot="1" x14ac:dyDescent="0.35">
      <c r="A12" s="10" t="s">
        <v>26</v>
      </c>
      <c r="B12" s="5">
        <v>3920</v>
      </c>
      <c r="C12" s="44"/>
    </row>
    <row r="13" spans="1:3" ht="15" thickBot="1" x14ac:dyDescent="0.35">
      <c r="A13" s="10" t="s">
        <v>16</v>
      </c>
      <c r="B13" s="5">
        <v>3578</v>
      </c>
      <c r="C13" s="44"/>
    </row>
    <row r="14" spans="1:3" ht="15" thickBot="1" x14ac:dyDescent="0.35">
      <c r="A14" s="10" t="s">
        <v>14</v>
      </c>
      <c r="B14" s="5">
        <v>1990</v>
      </c>
      <c r="C14" s="44"/>
    </row>
    <row r="15" spans="1:3" ht="15" thickBot="1" x14ac:dyDescent="0.35">
      <c r="A15" s="10" t="s">
        <v>30</v>
      </c>
      <c r="B15" s="5">
        <v>1200</v>
      </c>
      <c r="C15" s="44"/>
    </row>
    <row r="16" spans="1:3" ht="15" thickBot="1" x14ac:dyDescent="0.35">
      <c r="A16" s="10" t="s">
        <v>33</v>
      </c>
      <c r="B16" s="5">
        <v>649</v>
      </c>
      <c r="C16" s="44"/>
    </row>
    <row r="17" spans="1:3" ht="15" thickBot="1" x14ac:dyDescent="0.35">
      <c r="A17" s="11" t="s">
        <v>40</v>
      </c>
      <c r="B17" s="5"/>
      <c r="C17" s="43">
        <v>-118137</v>
      </c>
    </row>
    <row r="18" spans="1:3" ht="15" thickBot="1" x14ac:dyDescent="0.35">
      <c r="A18" s="10"/>
      <c r="B18" s="5"/>
      <c r="C18" s="44"/>
    </row>
    <row r="19" spans="1:3" ht="15" thickBot="1" x14ac:dyDescent="0.35">
      <c r="A19" s="11" t="s">
        <v>41</v>
      </c>
      <c r="B19" s="5"/>
      <c r="C19" s="44"/>
    </row>
    <row r="20" spans="1:3" ht="15" thickBot="1" x14ac:dyDescent="0.35">
      <c r="A20" s="10" t="s">
        <v>42</v>
      </c>
      <c r="B20" s="5">
        <v>15000</v>
      </c>
      <c r="C20" s="44"/>
    </row>
    <row r="21" spans="1:3" ht="15" thickBot="1" x14ac:dyDescent="0.35">
      <c r="A21" s="11" t="s">
        <v>43</v>
      </c>
      <c r="B21" s="5"/>
      <c r="C21" s="43">
        <v>-15000</v>
      </c>
    </row>
    <row r="22" spans="1:3" ht="15" thickBot="1" x14ac:dyDescent="0.35">
      <c r="A22" s="10"/>
      <c r="B22" s="5"/>
      <c r="C22" s="44"/>
    </row>
    <row r="23" spans="1:3" ht="27.6" x14ac:dyDescent="0.3">
      <c r="A23" s="48" t="s">
        <v>44</v>
      </c>
      <c r="B23" s="12"/>
      <c r="C23" s="49">
        <f>SUM(C4:C21)</f>
        <v>136863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153-EC49-483F-A957-A67C6A2CEF05}">
  <dimension ref="A1:F15"/>
  <sheetViews>
    <sheetView workbookViewId="0">
      <selection sqref="A1:F14"/>
    </sheetView>
  </sheetViews>
  <sheetFormatPr defaultRowHeight="14.4" x14ac:dyDescent="0.3"/>
  <cols>
    <col min="1" max="1" width="22.5546875" customWidth="1"/>
    <col min="2" max="2" width="15.77734375" style="8" bestFit="1" customWidth="1"/>
    <col min="3" max="3" width="14.6640625" customWidth="1"/>
    <col min="4" max="4" width="20" style="8" customWidth="1"/>
    <col min="5" max="5" width="17.33203125" customWidth="1"/>
    <col min="6" max="6" width="14.5546875" customWidth="1"/>
  </cols>
  <sheetData>
    <row r="1" spans="1:6" x14ac:dyDescent="0.3">
      <c r="A1" s="39" t="s">
        <v>77</v>
      </c>
      <c r="B1" s="39" t="s">
        <v>78</v>
      </c>
      <c r="C1" s="39" t="s">
        <v>79</v>
      </c>
      <c r="D1" s="39" t="s">
        <v>80</v>
      </c>
      <c r="E1" s="39" t="s">
        <v>81</v>
      </c>
      <c r="F1" s="39" t="s">
        <v>82</v>
      </c>
    </row>
    <row r="2" spans="1:6" ht="27.6" x14ac:dyDescent="0.3">
      <c r="A2" s="16" t="s">
        <v>47</v>
      </c>
      <c r="B2" s="16"/>
      <c r="C2" s="16"/>
      <c r="D2" s="16" t="s">
        <v>51</v>
      </c>
      <c r="E2" s="16" t="s">
        <v>5</v>
      </c>
      <c r="F2" s="16" t="s">
        <v>5</v>
      </c>
    </row>
    <row r="3" spans="1:6" x14ac:dyDescent="0.3">
      <c r="B3" s="16" t="s">
        <v>5</v>
      </c>
      <c r="C3" s="16" t="s">
        <v>5</v>
      </c>
      <c r="D3" s="21" t="s">
        <v>52</v>
      </c>
      <c r="E3" s="14"/>
      <c r="F3" s="14"/>
    </row>
    <row r="4" spans="1:6" x14ac:dyDescent="0.3">
      <c r="A4" s="21" t="s">
        <v>45</v>
      </c>
      <c r="B4" s="14"/>
      <c r="C4" s="14"/>
      <c r="D4" s="22" t="s">
        <v>53</v>
      </c>
      <c r="E4" s="14"/>
      <c r="F4" s="14">
        <v>0</v>
      </c>
    </row>
    <row r="5" spans="1:6" ht="27.6" x14ac:dyDescent="0.3">
      <c r="A5" s="22" t="s">
        <v>48</v>
      </c>
      <c r="B5" s="14"/>
      <c r="C5" s="14">
        <v>161863</v>
      </c>
      <c r="D5" s="22"/>
      <c r="E5" s="14"/>
      <c r="F5" s="14"/>
    </row>
    <row r="6" spans="1:6" x14ac:dyDescent="0.3">
      <c r="A6" s="22"/>
      <c r="B6" s="14"/>
      <c r="C6" s="14"/>
      <c r="D6" s="21" t="s">
        <v>46</v>
      </c>
      <c r="E6" s="14"/>
      <c r="F6" s="14"/>
    </row>
    <row r="7" spans="1:6" ht="41.4" x14ac:dyDescent="0.3">
      <c r="A7" s="21" t="s">
        <v>49</v>
      </c>
      <c r="B7" s="14"/>
      <c r="C7" s="14"/>
      <c r="D7" s="22" t="s">
        <v>54</v>
      </c>
      <c r="E7" s="19">
        <v>25000</v>
      </c>
      <c r="F7" s="14"/>
    </row>
    <row r="8" spans="1:6" ht="27.6" x14ac:dyDescent="0.3">
      <c r="A8" s="21" t="s">
        <v>68</v>
      </c>
      <c r="B8" s="14"/>
      <c r="C8" s="13"/>
      <c r="D8" s="22" t="s">
        <v>55</v>
      </c>
      <c r="E8" s="19">
        <v>151863</v>
      </c>
      <c r="F8" s="14"/>
    </row>
    <row r="9" spans="1:6" x14ac:dyDescent="0.3">
      <c r="A9" s="22" t="s">
        <v>65</v>
      </c>
      <c r="B9" s="19">
        <v>2500</v>
      </c>
      <c r="C9" s="14"/>
      <c r="D9" s="21" t="s">
        <v>56</v>
      </c>
      <c r="E9" s="14"/>
      <c r="F9" s="16">
        <v>176863</v>
      </c>
    </row>
    <row r="10" spans="1:6" x14ac:dyDescent="0.3">
      <c r="A10" s="23" t="s">
        <v>66</v>
      </c>
      <c r="B10" s="19">
        <v>2500</v>
      </c>
      <c r="C10" s="13"/>
      <c r="D10" s="22"/>
      <c r="E10" s="14"/>
      <c r="F10" s="14"/>
    </row>
    <row r="11" spans="1:6" x14ac:dyDescent="0.3">
      <c r="A11" s="24" t="s">
        <v>67</v>
      </c>
      <c r="B11" s="20">
        <v>10000</v>
      </c>
      <c r="C11" s="15"/>
    </row>
    <row r="12" spans="1:6" x14ac:dyDescent="0.3">
      <c r="A12" s="23"/>
      <c r="B12" s="15"/>
      <c r="C12" s="14">
        <v>15000</v>
      </c>
      <c r="D12" s="24"/>
      <c r="E12" s="13"/>
      <c r="F12" s="13"/>
    </row>
    <row r="13" spans="1:6" x14ac:dyDescent="0.3">
      <c r="A13" s="25"/>
      <c r="B13" s="18"/>
      <c r="C13" s="17"/>
      <c r="D13" s="27"/>
    </row>
    <row r="14" spans="1:6" ht="27.6" x14ac:dyDescent="0.3">
      <c r="A14" s="40" t="s">
        <v>50</v>
      </c>
      <c r="B14" s="37"/>
      <c r="C14" s="41">
        <v>176863</v>
      </c>
      <c r="D14" s="40" t="s">
        <v>57</v>
      </c>
      <c r="E14" s="42"/>
      <c r="F14" s="41">
        <v>176863</v>
      </c>
    </row>
    <row r="15" spans="1:6" x14ac:dyDescent="0.3">
      <c r="A15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E0CD-01D8-4C5B-99B9-9F1E8BB98C52}">
  <dimension ref="A1:I18"/>
  <sheetViews>
    <sheetView tabSelected="1" workbookViewId="0">
      <selection activeCell="D14" sqref="D14"/>
    </sheetView>
  </sheetViews>
  <sheetFormatPr defaultRowHeight="14.4" x14ac:dyDescent="0.3"/>
  <cols>
    <col min="1" max="1" width="11.109375" customWidth="1"/>
    <col min="2" max="2" width="22.109375" customWidth="1"/>
    <col min="3" max="3" width="16.109375" customWidth="1"/>
    <col min="4" max="4" width="14.5546875" customWidth="1"/>
    <col min="6" max="6" width="12" bestFit="1" customWidth="1"/>
    <col min="8" max="8" width="11.77734375" bestFit="1" customWidth="1"/>
    <col min="9" max="9" width="10.77734375" customWidth="1"/>
  </cols>
  <sheetData>
    <row r="1" spans="1:9" x14ac:dyDescent="0.3">
      <c r="A1" s="9" t="s">
        <v>76</v>
      </c>
      <c r="B1">
        <f>'Balance Sheet'!E8/' Cash Flow Statement'!C6*100</f>
        <v>56.245555555555562</v>
      </c>
      <c r="G1" s="29"/>
      <c r="H1" s="29"/>
      <c r="I1" s="29"/>
    </row>
    <row r="2" spans="1:9" x14ac:dyDescent="0.3">
      <c r="A2" s="9" t="s">
        <v>75</v>
      </c>
      <c r="G2" s="29"/>
      <c r="H2" s="30"/>
      <c r="I2" s="30"/>
    </row>
    <row r="3" spans="1:9" x14ac:dyDescent="0.3">
      <c r="A3" s="33" t="s">
        <v>1</v>
      </c>
      <c r="B3" s="34" t="s">
        <v>64</v>
      </c>
      <c r="C3" s="34" t="s">
        <v>63</v>
      </c>
      <c r="D3" s="35" t="s">
        <v>61</v>
      </c>
      <c r="G3" s="29"/>
      <c r="H3" s="30"/>
      <c r="I3" s="30"/>
    </row>
    <row r="4" spans="1:9" x14ac:dyDescent="0.3">
      <c r="A4" s="31" t="s">
        <v>59</v>
      </c>
      <c r="B4" s="15">
        <f>csv!E2</f>
        <v>90000</v>
      </c>
      <c r="C4" s="15">
        <f>SUM(csv!E3:E8)</f>
        <v>41928</v>
      </c>
      <c r="D4" s="32">
        <f>B4-C4</f>
        <v>48072</v>
      </c>
      <c r="G4" s="29"/>
      <c r="H4" s="30"/>
      <c r="I4" s="29"/>
    </row>
    <row r="5" spans="1:9" x14ac:dyDescent="0.3">
      <c r="A5" s="31" t="s">
        <v>58</v>
      </c>
      <c r="B5" s="15">
        <f>csv!E9</f>
        <v>90000</v>
      </c>
      <c r="C5" s="15">
        <f>SUM(csv!E10:E15)</f>
        <v>55840</v>
      </c>
      <c r="D5" s="32">
        <f t="shared" ref="D5:D6" si="0">B5-C5</f>
        <v>34160</v>
      </c>
    </row>
    <row r="6" spans="1:9" x14ac:dyDescent="0.3">
      <c r="A6" s="36" t="s">
        <v>60</v>
      </c>
      <c r="B6" s="37">
        <f>csv!E16</f>
        <v>90000</v>
      </c>
      <c r="C6" s="37">
        <f>SUM(csv!E17:E21)</f>
        <v>35369</v>
      </c>
      <c r="D6" s="38">
        <f t="shared" si="0"/>
        <v>54631</v>
      </c>
    </row>
    <row r="11" spans="1:9" x14ac:dyDescent="0.3">
      <c r="A11" s="9" t="s">
        <v>62</v>
      </c>
      <c r="B11" s="8">
        <f>'Balance Sheet'!C14-'Balance Sheet'!F14</f>
        <v>0</v>
      </c>
    </row>
    <row r="13" spans="1:9" x14ac:dyDescent="0.3">
      <c r="A13" s="13" t="s">
        <v>69</v>
      </c>
      <c r="B13" s="13">
        <v>10000</v>
      </c>
      <c r="F13" s="9" t="s">
        <v>74</v>
      </c>
    </row>
    <row r="14" spans="1:9" x14ac:dyDescent="0.3">
      <c r="A14" s="50" t="s">
        <v>70</v>
      </c>
      <c r="B14" s="51">
        <v>7.0000000000000007E-2</v>
      </c>
      <c r="D14" t="s">
        <v>84</v>
      </c>
      <c r="E14" t="s">
        <v>83</v>
      </c>
      <c r="F14">
        <f>B13*(1+B14/B16)^(B16*B15)</f>
        <v>20096.613766956314</v>
      </c>
      <c r="G14" t="s">
        <v>73</v>
      </c>
    </row>
    <row r="15" spans="1:9" x14ac:dyDescent="0.3">
      <c r="A15" s="13" t="s">
        <v>71</v>
      </c>
      <c r="B15" s="13">
        <v>10</v>
      </c>
    </row>
    <row r="16" spans="1:9" x14ac:dyDescent="0.3">
      <c r="A16" s="13" t="s">
        <v>72</v>
      </c>
      <c r="B16" s="13">
        <v>12</v>
      </c>
    </row>
    <row r="18" spans="1:1" x14ac:dyDescent="0.3">
      <c r="A18" s="28"/>
    </row>
  </sheetData>
  <conditionalFormatting sqref="A3:D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{5D4A982A-805A-4513-ABB8-23491FDC990D}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4A982A-805A-4513-ABB8-23491FDC9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A3:D6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csv</vt:lpstr>
      <vt:lpstr> Cash Flow Statement</vt:lpstr>
      <vt:lpstr>Balance Sheet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gokul</dc:creator>
  <cp:lastModifiedBy>raj gokul</cp:lastModifiedBy>
  <dcterms:created xsi:type="dcterms:W3CDTF">2026-02-01T07:33:24Z</dcterms:created>
  <dcterms:modified xsi:type="dcterms:W3CDTF">2026-02-01T10:16:39Z</dcterms:modified>
</cp:coreProperties>
</file>